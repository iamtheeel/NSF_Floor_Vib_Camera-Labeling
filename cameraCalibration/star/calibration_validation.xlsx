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ibration_valida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<sst xmlns="http://schemas.openxmlformats.org/spreadsheetml/2006/main" count="33" uniqueCount="33">
  <si>
    <t xml:space="preserve">file</t>
  </si>
  <si>
    <t xml:space="preserve">gt_x (cm)</t>
  </si>
  <si>
    <t xml:space="preserve">gt_y (cm)</t>
  </si>
  <si>
    <t xml:space="preserve">click_x (px)</t>
  </si>
  <si>
    <t xml:space="preserve">click_y (px)</t>
  </si>
  <si>
    <t xml:space="preserve">calc_x (cm)</t>
  </si>
  <si>
    <t xml:space="preserve">calc_y (cm)</t>
  </si>
  <si>
    <t xml:space="preserve">%e X</t>
  </si>
  <si>
    <t xml:space="preserve">%e Y</t>
  </si>
  <si>
    <t xml:space="preserve">cameraCalibration/star/0x400y.jpg</t>
  </si>
  <si>
    <t xml:space="preserve">cameraCalibration/star/0x800y.jpg</t>
  </si>
  <si>
    <t xml:space="preserve">cameraCalibration/star/0x900y.jpg</t>
  </si>
  <si>
    <t xml:space="preserve">cameraCalibration/star/108.3x500y.jpg</t>
  </si>
  <si>
    <t xml:space="preserve">cameraCalibration/star/120.1x2000y.jpg</t>
  </si>
  <si>
    <t xml:space="preserve">cameraCalibration/star/120.2x400y.jpg</t>
  </si>
  <si>
    <t xml:space="preserve">cameraCalibration/star/120.2x678.7y.jpg</t>
  </si>
  <si>
    <t xml:space="preserve">cameraCalibration/star/120.7x423.8y.jpg</t>
  </si>
  <si>
    <t xml:space="preserve">cameraCalibration/star/120x602.7.jpg</t>
  </si>
  <si>
    <t xml:space="preserve">cameraCalibration/star/14.9x1300y.jpg</t>
  </si>
  <si>
    <t xml:space="preserve">cameraCalibration/star/144.2x842.9y.jpg</t>
  </si>
  <si>
    <t xml:space="preserve">cameraCalibration/star/19.5x1000y.jpg</t>
  </si>
  <si>
    <t xml:space="preserve">cameraCalibration/star/258.4x554.9y.jpg</t>
  </si>
  <si>
    <t xml:space="preserve">cameraCalibration/star/34.7x1600y.jpg</t>
  </si>
  <si>
    <t xml:space="preserve">cameraCalibration/star/36.2x1400y.jpg</t>
  </si>
  <si>
    <t xml:space="preserve">cameraCalibration/star/45.1x1200y.jpg</t>
  </si>
  <si>
    <t xml:space="preserve">cameraCalibration/star/48.8x1700y.jpg</t>
  </si>
  <si>
    <t xml:space="preserve">cameraCalibration/star/52.9x700y.jpg</t>
  </si>
  <si>
    <t xml:space="preserve">cameraCalibration/star/57x400y.jpg</t>
  </si>
  <si>
    <t xml:space="preserve">cameraCalibration/star/63.5x1800y.jpg</t>
  </si>
  <si>
    <t xml:space="preserve">cameraCalibration/star/70.9x1900y.jpg</t>
  </si>
  <si>
    <t xml:space="preserve">cameraCalibration/star/88.4x1500y.jpg</t>
  </si>
  <si>
    <t xml:space="preserve">cameraCalibration/star/88.9x800y.jpg</t>
  </si>
  <si>
    <t xml:space="preserve">cameraCalibration/star/90.6x1100y.jpg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</si>
</sst>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.00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9211E"/>
      <name val="Arial"/>
      <family val="2"/>
      <charset val="1"/>
    </font>
    <font>
      <sz val="10"/>
      <color rgb="FFC9211E"/>
      <name val="Arial"/>
      <family val="2"/>
      <charset val="1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  <a:ea typeface="DejaVu Sans"/>
              </a:rPr>
              <a:t>asdf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calibration_validation!$F$1</c:f>
              <c:strCache>
                <c:ptCount val="1"/>
                <c:pt idx="0">
                  <c:v>calc_x (cm)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calibration_validation!$B$2:$B$25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108.3</c:v>
                </c:pt>
                <c:pt idx="4">
                  <c:v>120.1</c:v>
                </c:pt>
                <c:pt idx="5">
                  <c:v>120.2</c:v>
                </c:pt>
                <c:pt idx="6">
                  <c:v>120.2</c:v>
                </c:pt>
                <c:pt idx="7">
                  <c:v>120.7</c:v>
                </c:pt>
                <c:pt idx="8">
                  <c:v>120</c:v>
                </c:pt>
                <c:pt idx="9">
                  <c:v>14.9</c:v>
                </c:pt>
                <c:pt idx="10">
                  <c:v>144.2</c:v>
                </c:pt>
                <c:pt idx="11">
                  <c:v>19.5</c:v>
                </c:pt>
                <c:pt idx="12">
                  <c:v>258.4</c:v>
                </c:pt>
                <c:pt idx="13">
                  <c:v>34.7</c:v>
                </c:pt>
                <c:pt idx="14">
                  <c:v>36.2</c:v>
                </c:pt>
                <c:pt idx="15">
                  <c:v>45.1</c:v>
                </c:pt>
                <c:pt idx="16">
                  <c:v>48.8</c:v>
                </c:pt>
                <c:pt idx="17">
                  <c:v>52.9</c:v>
                </c:pt>
                <c:pt idx="18">
                  <c:v>57</c:v>
                </c:pt>
                <c:pt idx="19">
                  <c:v>63.5</c:v>
                </c:pt>
                <c:pt idx="20">
                  <c:v>70.9</c:v>
                </c:pt>
                <c:pt idx="21">
                  <c:v>88.4</c:v>
                </c:pt>
                <c:pt idx="22">
                  <c:v>88.9</c:v>
                </c:pt>
                <c:pt idx="23">
                  <c:v>90.6</c:v>
                </c:pt>
              </c:numCache>
            </c:numRef>
          </c:xVal>
          <c:yVal>
            <c:numRef>
              <c:f>calibration_validation!$F$2:$F$25</c:f>
              <c:numCache>
                <c:formatCode>General</c:formatCode>
                <c:ptCount val="24"/>
                <c:pt idx="0">
                  <c:v>-5.86669355542368</c:v>
                </c:pt>
                <c:pt idx="1">
                  <c:v>-7.96943433811734</c:v>
                </c:pt>
                <c:pt idx="2">
                  <c:v>-6.94949659190636</c:v>
                </c:pt>
                <c:pt idx="3">
                  <c:v>106.531791937894</c:v>
                </c:pt>
                <c:pt idx="4">
                  <c:v>120.808352126599</c:v>
                </c:pt>
                <c:pt idx="5">
                  <c:v>150.165934068324</c:v>
                </c:pt>
                <c:pt idx="6">
                  <c:v>121.573403892007</c:v>
                </c:pt>
                <c:pt idx="7">
                  <c:v>150.86589603219</c:v>
                </c:pt>
                <c:pt idx="8">
                  <c:v>119.07703618251</c:v>
                </c:pt>
                <c:pt idx="9">
                  <c:v>11.9710014462234</c:v>
                </c:pt>
                <c:pt idx="10">
                  <c:v>145.420073113179</c:v>
                </c:pt>
                <c:pt idx="11">
                  <c:v>16.0058034383993</c:v>
                </c:pt>
                <c:pt idx="12">
                  <c:v>182.170724260734</c:v>
                </c:pt>
                <c:pt idx="13">
                  <c:v>32.6948954065275</c:v>
                </c:pt>
                <c:pt idx="14">
                  <c:v>34.9433019600952</c:v>
                </c:pt>
                <c:pt idx="15">
                  <c:v>41.7308000406673</c:v>
                </c:pt>
                <c:pt idx="16">
                  <c:v>46.6662521817725</c:v>
                </c:pt>
                <c:pt idx="17">
                  <c:v>49.7948451179619</c:v>
                </c:pt>
                <c:pt idx="18">
                  <c:v>53.7894234189463</c:v>
                </c:pt>
                <c:pt idx="19">
                  <c:v>63.9438059370594</c:v>
                </c:pt>
                <c:pt idx="20">
                  <c:v>68.3459865572016</c:v>
                </c:pt>
                <c:pt idx="21">
                  <c:v>88.0843176863798</c:v>
                </c:pt>
                <c:pt idx="22">
                  <c:v>87.8921236445781</c:v>
                </c:pt>
                <c:pt idx="23">
                  <c:v>90.2827444246275</c:v>
                </c:pt>
              </c:numCache>
            </c:numRef>
          </c:yVal>
          <c:smooth val="0"/>
        </c:ser>
        <c:axId val="1757095"/>
        <c:axId val="29493979"/>
      </c:scatterChart>
      <c:scatterChart>
        <c:scatterStyle val="lineMarker"/>
        <c:varyColors val="0"/>
        <c:ser>
          <c:idx val="1"/>
          <c:order val="1"/>
          <c:tx>
            <c:strRef>
              <c:f>calibration_validation!$G$1</c:f>
              <c:strCache>
                <c:ptCount val="1"/>
                <c:pt idx="0">
                  <c:v>calc_y (cm)</c:v>
                </c:pt>
              </c:strCache>
            </c:strRef>
          </c:tx>
          <c:spPr>
            <a:solidFill>
              <a:srgbClr val="ffd320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calibration_validation!$C$2:$C$25</c:f>
              <c:numCache>
                <c:formatCode>General</c:formatCode>
                <c:ptCount val="24"/>
                <c:pt idx="0">
                  <c:v>400</c:v>
                </c:pt>
                <c:pt idx="1">
                  <c:v>800</c:v>
                </c:pt>
                <c:pt idx="2">
                  <c:v>900</c:v>
                </c:pt>
                <c:pt idx="3">
                  <c:v>500</c:v>
                </c:pt>
                <c:pt idx="4">
                  <c:v>2000</c:v>
                </c:pt>
                <c:pt idx="5">
                  <c:v>400</c:v>
                </c:pt>
                <c:pt idx="6">
                  <c:v>678.7</c:v>
                </c:pt>
                <c:pt idx="7">
                  <c:v>423.8</c:v>
                </c:pt>
                <c:pt idx="8">
                  <c:v>602.7</c:v>
                </c:pt>
                <c:pt idx="9">
                  <c:v>1300</c:v>
                </c:pt>
                <c:pt idx="10">
                  <c:v>849.9</c:v>
                </c:pt>
                <c:pt idx="11">
                  <c:v>1000</c:v>
                </c:pt>
                <c:pt idx="12">
                  <c:v>554.9</c:v>
                </c:pt>
                <c:pt idx="13">
                  <c:v>1600</c:v>
                </c:pt>
                <c:pt idx="14">
                  <c:v>1400</c:v>
                </c:pt>
                <c:pt idx="15">
                  <c:v>1200</c:v>
                </c:pt>
                <c:pt idx="16">
                  <c:v>1700</c:v>
                </c:pt>
                <c:pt idx="17">
                  <c:v>700</c:v>
                </c:pt>
                <c:pt idx="18">
                  <c:v>400</c:v>
                </c:pt>
                <c:pt idx="19">
                  <c:v>1800</c:v>
                </c:pt>
                <c:pt idx="20">
                  <c:v>1900</c:v>
                </c:pt>
                <c:pt idx="21">
                  <c:v>1500</c:v>
                </c:pt>
                <c:pt idx="22">
                  <c:v>800</c:v>
                </c:pt>
                <c:pt idx="23">
                  <c:v>1100</c:v>
                </c:pt>
              </c:numCache>
            </c:numRef>
          </c:xVal>
          <c:yVal>
            <c:numRef>
              <c:f>calibration_validation!$G$2:$G$25</c:f>
              <c:numCache>
                <c:formatCode>General</c:formatCode>
                <c:ptCount val="24"/>
                <c:pt idx="0">
                  <c:v>402.045385469408</c:v>
                </c:pt>
                <c:pt idx="1">
                  <c:v>802.621278846541</c:v>
                </c:pt>
                <c:pt idx="2">
                  <c:v>902.135708207518</c:v>
                </c:pt>
                <c:pt idx="3">
                  <c:v>496.262057292665</c:v>
                </c:pt>
                <c:pt idx="4">
                  <c:v>1983.39406724609</c:v>
                </c:pt>
                <c:pt idx="5">
                  <c:v>395.826762032533</c:v>
                </c:pt>
                <c:pt idx="6">
                  <c:v>677.022670688424</c:v>
                </c:pt>
                <c:pt idx="7">
                  <c:v>417.367797921966</c:v>
                </c:pt>
                <c:pt idx="8">
                  <c:v>599.749054319427</c:v>
                </c:pt>
                <c:pt idx="9">
                  <c:v>1302.65352559053</c:v>
                </c:pt>
                <c:pt idx="10">
                  <c:v>843.632908434815</c:v>
                </c:pt>
                <c:pt idx="11">
                  <c:v>1002.99389046401</c:v>
                </c:pt>
                <c:pt idx="12">
                  <c:v>550.078896779978</c:v>
                </c:pt>
                <c:pt idx="13">
                  <c:v>1596.05420060739</c:v>
                </c:pt>
                <c:pt idx="14">
                  <c:v>1401.62845844916</c:v>
                </c:pt>
                <c:pt idx="15">
                  <c:v>1202.9314368296</c:v>
                </c:pt>
                <c:pt idx="16">
                  <c:v>1692.17155270141</c:v>
                </c:pt>
                <c:pt idx="17">
                  <c:v>701.412086330138</c:v>
                </c:pt>
                <c:pt idx="18">
                  <c:v>399.844360480273</c:v>
                </c:pt>
                <c:pt idx="19">
                  <c:v>1791.04614276847</c:v>
                </c:pt>
                <c:pt idx="20">
                  <c:v>1890.08898319521</c:v>
                </c:pt>
                <c:pt idx="21">
                  <c:v>1491.75425781505</c:v>
                </c:pt>
                <c:pt idx="22">
                  <c:v>799.912947939294</c:v>
                </c:pt>
                <c:pt idx="23">
                  <c:v>1100.17750794812</c:v>
                </c:pt>
              </c:numCache>
            </c:numRef>
          </c:yVal>
          <c:smooth val="0"/>
        </c:ser>
        <c:axId val="35608147"/>
        <c:axId val="22466479"/>
      </c:scatterChart>
      <c:valAx>
        <c:axId val="17570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asdf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9493979"/>
        <c:crosses val="min"/>
        <c:crossBetween val="midCat"/>
      </c:valAx>
      <c:valAx>
        <c:axId val="294939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X Axis, Hall Width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1757095"/>
        <c:crosses val="min"/>
        <c:crossBetween val="midCat"/>
      </c:valAx>
      <c:valAx>
        <c:axId val="35608147"/>
        <c:scaling>
          <c:orientation val="minMax"/>
        </c:scaling>
        <c:delete val="1"/>
        <c:axPos val="t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asdf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2466479"/>
        <c:crossBetween val="midCat"/>
      </c:valAx>
      <c:valAx>
        <c:axId val="22466479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Y Axis, Hall Width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35608147"/>
        <c:crosses val="max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  <a:ea typeface="DejaVu Sans"/>
              </a:rPr>
              <a:t>Distance Across Hall
Generated from: calibrator.pixle_to_meters</a:t>
            </a:r>
          </a:p>
        </c:rich>
      </c:tx>
      <c:layout>
        <c:manualLayout>
          <c:xMode val="edge"/>
          <c:yMode val="edge"/>
          <c:x val="0.360462211118051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415990006246"/>
          <c:y val="0.143095026642984"/>
          <c:w val="0.827607745159276"/>
          <c:h val="0.704595914742451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calibration_validation!$F$1</c:f>
              <c:strCache>
                <c:ptCount val="1"/>
                <c:pt idx="0">
                  <c:v>calc_x (cm)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ff420e"/>
                </a:solidFill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calibration_validation!$B$2:$B$25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108.3</c:v>
                </c:pt>
                <c:pt idx="4">
                  <c:v>120.1</c:v>
                </c:pt>
                <c:pt idx="5">
                  <c:v>120.2</c:v>
                </c:pt>
                <c:pt idx="6">
                  <c:v>120.2</c:v>
                </c:pt>
                <c:pt idx="7">
                  <c:v>120.7</c:v>
                </c:pt>
                <c:pt idx="8">
                  <c:v>120</c:v>
                </c:pt>
                <c:pt idx="9">
                  <c:v>14.9</c:v>
                </c:pt>
                <c:pt idx="10">
                  <c:v>144.2</c:v>
                </c:pt>
                <c:pt idx="11">
                  <c:v>19.5</c:v>
                </c:pt>
                <c:pt idx="12">
                  <c:v>258.4</c:v>
                </c:pt>
                <c:pt idx="13">
                  <c:v>34.7</c:v>
                </c:pt>
                <c:pt idx="14">
                  <c:v>36.2</c:v>
                </c:pt>
                <c:pt idx="15">
                  <c:v>45.1</c:v>
                </c:pt>
                <c:pt idx="16">
                  <c:v>48.8</c:v>
                </c:pt>
                <c:pt idx="17">
                  <c:v>52.9</c:v>
                </c:pt>
                <c:pt idx="18">
                  <c:v>57</c:v>
                </c:pt>
                <c:pt idx="19">
                  <c:v>63.5</c:v>
                </c:pt>
                <c:pt idx="20">
                  <c:v>70.9</c:v>
                </c:pt>
                <c:pt idx="21">
                  <c:v>88.4</c:v>
                </c:pt>
                <c:pt idx="22">
                  <c:v>88.9</c:v>
                </c:pt>
                <c:pt idx="23">
                  <c:v>90.6</c:v>
                </c:pt>
              </c:numCache>
            </c:numRef>
          </c:xVal>
          <c:yVal>
            <c:numRef>
              <c:f>calibration_validation!$F$2:$F$25</c:f>
              <c:numCache>
                <c:formatCode>General</c:formatCode>
                <c:ptCount val="24"/>
                <c:pt idx="0">
                  <c:v>-5.86669355542368</c:v>
                </c:pt>
                <c:pt idx="1">
                  <c:v>-7.96943433811734</c:v>
                </c:pt>
                <c:pt idx="2">
                  <c:v>-6.94949659190636</c:v>
                </c:pt>
                <c:pt idx="3">
                  <c:v>106.531791937894</c:v>
                </c:pt>
                <c:pt idx="4">
                  <c:v>120.808352126599</c:v>
                </c:pt>
                <c:pt idx="5">
                  <c:v>150.165934068324</c:v>
                </c:pt>
                <c:pt idx="6">
                  <c:v>121.573403892007</c:v>
                </c:pt>
                <c:pt idx="7">
                  <c:v>150.86589603219</c:v>
                </c:pt>
                <c:pt idx="8">
                  <c:v>119.07703618251</c:v>
                </c:pt>
                <c:pt idx="9">
                  <c:v>11.9710014462234</c:v>
                </c:pt>
                <c:pt idx="10">
                  <c:v>145.420073113179</c:v>
                </c:pt>
                <c:pt idx="11">
                  <c:v>16.0058034383993</c:v>
                </c:pt>
                <c:pt idx="12">
                  <c:v>182.170724260734</c:v>
                </c:pt>
                <c:pt idx="13">
                  <c:v>32.6948954065275</c:v>
                </c:pt>
                <c:pt idx="14">
                  <c:v>34.9433019600952</c:v>
                </c:pt>
                <c:pt idx="15">
                  <c:v>41.7308000406673</c:v>
                </c:pt>
                <c:pt idx="16">
                  <c:v>46.6662521817725</c:v>
                </c:pt>
                <c:pt idx="17">
                  <c:v>49.7948451179619</c:v>
                </c:pt>
                <c:pt idx="18">
                  <c:v>53.7894234189463</c:v>
                </c:pt>
                <c:pt idx="19">
                  <c:v>63.9438059370594</c:v>
                </c:pt>
                <c:pt idx="20">
                  <c:v>68.3459865572016</c:v>
                </c:pt>
                <c:pt idx="21">
                  <c:v>88.0843176863798</c:v>
                </c:pt>
                <c:pt idx="22">
                  <c:v>87.8921236445781</c:v>
                </c:pt>
                <c:pt idx="23">
                  <c:v>90.2827444246275</c:v>
                </c:pt>
              </c:numCache>
            </c:numRef>
          </c:yVal>
          <c:smooth val="0"/>
        </c:ser>
        <c:axId val="27383517"/>
        <c:axId val="89788688"/>
      </c:scatterChart>
      <c:valAx>
        <c:axId val="273835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Read From Image Lable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9788688"/>
        <c:crosses val="min"/>
        <c:crossBetween val="midCat"/>
      </c:valAx>
      <c:valAx>
        <c:axId val="897886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Calculated From Image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7383517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  <a:ea typeface="DejaVu Sans"/>
              </a:rPr>
              <a:t>Distance Down Hall
Generated from: calibrator.pixle_to_meters</a:t>
            </a:r>
          </a:p>
        </c:rich>
      </c:tx>
      <c:layout>
        <c:manualLayout>
          <c:xMode val="edge"/>
          <c:yMode val="edge"/>
          <c:x val="0.360529768226401"/>
          <c:y val="0.0002220248667850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441181982883"/>
          <c:y val="0.143095026642984"/>
          <c:w val="0.827512963078653"/>
          <c:h val="0.704595914742451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calibration_validation!$F$1</c:f>
              <c:strCache>
                <c:ptCount val="1"/>
                <c:pt idx="0">
                  <c:v>calc_x (cm)</c:v>
                </c:pt>
              </c:strCache>
            </c:strRef>
          </c:tx>
          <c:spPr>
            <a:solidFill>
              <a:srgbClr val="0000ff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0000ff"/>
              </a:solidFill>
            </c:spPr>
          </c:marker>
          <c:dPt>
            <c:idx val="21"/>
            <c:marker>
              <c:symbol val="diamond"/>
              <c:size val="8"/>
              <c:spPr>
                <a:solidFill>
                  <a:srgbClr val="0000ff"/>
                </a:solidFill>
              </c:spPr>
            </c:marker>
          </c:dPt>
          <c:dLbls>
            <c:dLbl>
              <c:idx val="2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ff"/>
                </a:solidFill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calibration_validation!$C$2:$C$25</c:f>
              <c:numCache>
                <c:formatCode>General</c:formatCode>
                <c:ptCount val="24"/>
                <c:pt idx="0">
                  <c:v>400</c:v>
                </c:pt>
                <c:pt idx="1">
                  <c:v>800</c:v>
                </c:pt>
                <c:pt idx="2">
                  <c:v>900</c:v>
                </c:pt>
                <c:pt idx="3">
                  <c:v>500</c:v>
                </c:pt>
                <c:pt idx="4">
                  <c:v>2000</c:v>
                </c:pt>
                <c:pt idx="5">
                  <c:v>400</c:v>
                </c:pt>
                <c:pt idx="6">
                  <c:v>678.7</c:v>
                </c:pt>
                <c:pt idx="7">
                  <c:v>423.8</c:v>
                </c:pt>
                <c:pt idx="8">
                  <c:v>602.7</c:v>
                </c:pt>
                <c:pt idx="9">
                  <c:v>1300</c:v>
                </c:pt>
                <c:pt idx="10">
                  <c:v>849.9</c:v>
                </c:pt>
                <c:pt idx="11">
                  <c:v>1000</c:v>
                </c:pt>
                <c:pt idx="12">
                  <c:v>554.9</c:v>
                </c:pt>
                <c:pt idx="13">
                  <c:v>1600</c:v>
                </c:pt>
                <c:pt idx="14">
                  <c:v>1400</c:v>
                </c:pt>
                <c:pt idx="15">
                  <c:v>1200</c:v>
                </c:pt>
                <c:pt idx="16">
                  <c:v>1700</c:v>
                </c:pt>
                <c:pt idx="17">
                  <c:v>700</c:v>
                </c:pt>
                <c:pt idx="18">
                  <c:v>400</c:v>
                </c:pt>
                <c:pt idx="19">
                  <c:v>1800</c:v>
                </c:pt>
                <c:pt idx="20">
                  <c:v>1900</c:v>
                </c:pt>
                <c:pt idx="21">
                  <c:v>1500</c:v>
                </c:pt>
                <c:pt idx="22">
                  <c:v>800</c:v>
                </c:pt>
                <c:pt idx="23">
                  <c:v>1100</c:v>
                </c:pt>
              </c:numCache>
            </c:numRef>
          </c:xVal>
          <c:yVal>
            <c:numRef>
              <c:f>calibration_validation!$G$2:$G$25</c:f>
              <c:numCache>
                <c:formatCode>General</c:formatCode>
                <c:ptCount val="24"/>
                <c:pt idx="0">
                  <c:v>402.045385469408</c:v>
                </c:pt>
                <c:pt idx="1">
                  <c:v>802.621278846541</c:v>
                </c:pt>
                <c:pt idx="2">
                  <c:v>902.135708207518</c:v>
                </c:pt>
                <c:pt idx="3">
                  <c:v>496.262057292665</c:v>
                </c:pt>
                <c:pt idx="4">
                  <c:v>1983.39406724609</c:v>
                </c:pt>
                <c:pt idx="5">
                  <c:v>395.826762032533</c:v>
                </c:pt>
                <c:pt idx="6">
                  <c:v>677.022670688424</c:v>
                </c:pt>
                <c:pt idx="7">
                  <c:v>417.367797921966</c:v>
                </c:pt>
                <c:pt idx="8">
                  <c:v>599.749054319427</c:v>
                </c:pt>
                <c:pt idx="9">
                  <c:v>1302.65352559053</c:v>
                </c:pt>
                <c:pt idx="10">
                  <c:v>843.632908434815</c:v>
                </c:pt>
                <c:pt idx="11">
                  <c:v>1002.99389046401</c:v>
                </c:pt>
                <c:pt idx="12">
                  <c:v>550.078896779978</c:v>
                </c:pt>
                <c:pt idx="13">
                  <c:v>1596.05420060739</c:v>
                </c:pt>
                <c:pt idx="14">
                  <c:v>1401.62845844916</c:v>
                </c:pt>
                <c:pt idx="15">
                  <c:v>1202.9314368296</c:v>
                </c:pt>
                <c:pt idx="16">
                  <c:v>1692.17155270141</c:v>
                </c:pt>
                <c:pt idx="17">
                  <c:v>701.412086330138</c:v>
                </c:pt>
                <c:pt idx="18">
                  <c:v>399.844360480273</c:v>
                </c:pt>
                <c:pt idx="19">
                  <c:v>1791.04614276847</c:v>
                </c:pt>
                <c:pt idx="20">
                  <c:v>1890.08898319521</c:v>
                </c:pt>
                <c:pt idx="21">
                  <c:v>1491.75425781505</c:v>
                </c:pt>
                <c:pt idx="22">
                  <c:v>799.912947939294</c:v>
                </c:pt>
                <c:pt idx="23">
                  <c:v>1100.17750794812</c:v>
                </c:pt>
              </c:numCache>
            </c:numRef>
          </c:yVal>
          <c:smooth val="0"/>
        </c:ser>
        <c:axId val="93391871"/>
        <c:axId val="52965435"/>
      </c:scatterChart>
      <c:valAx>
        <c:axId val="933918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Read From Image Lable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2965435"/>
        <c:crosses val="autoZero"/>
        <c:crossBetween val="midCat"/>
      </c:valAx>
      <c:valAx>
        <c:axId val="5296543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Calculated From Image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339187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780120</xdr:colOff>
      <xdr:row>1</xdr:row>
      <xdr:rowOff>121680</xdr:rowOff>
    </xdr:from>
    <xdr:to>
      <xdr:col>18</xdr:col>
      <xdr:colOff>37080</xdr:colOff>
      <xdr:row>21</xdr:row>
      <xdr:rowOff>109800</xdr:rowOff>
    </xdr:to>
    <xdr:graphicFrame>
      <xdr:nvGraphicFramePr>
        <xdr:cNvPr id="0" name=""/>
        <xdr:cNvGraphicFramePr/>
      </xdr:nvGraphicFramePr>
      <xdr:xfrm>
        <a:off x="10743120" y="284400"/>
        <a:ext cx="575964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590040</xdr:colOff>
      <xdr:row>28</xdr:row>
      <xdr:rowOff>85320</xdr:rowOff>
    </xdr:from>
    <xdr:to>
      <xdr:col>5</xdr:col>
      <xdr:colOff>1208520</xdr:colOff>
      <xdr:row>48</xdr:row>
      <xdr:rowOff>76680</xdr:rowOff>
    </xdr:to>
    <xdr:graphicFrame>
      <xdr:nvGraphicFramePr>
        <xdr:cNvPr id="1" name=""/>
        <xdr:cNvGraphicFramePr/>
      </xdr:nvGraphicFramePr>
      <xdr:xfrm>
        <a:off x="590040" y="4637160"/>
        <a:ext cx="5763240" cy="324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422640</xdr:colOff>
      <xdr:row>27</xdr:row>
      <xdr:rowOff>51480</xdr:rowOff>
    </xdr:from>
    <xdr:to>
      <xdr:col>13</xdr:col>
      <xdr:colOff>139680</xdr:colOff>
      <xdr:row>47</xdr:row>
      <xdr:rowOff>42840</xdr:rowOff>
    </xdr:to>
    <xdr:graphicFrame>
      <xdr:nvGraphicFramePr>
        <xdr:cNvPr id="2" name=""/>
        <xdr:cNvGraphicFramePr/>
      </xdr:nvGraphicFramePr>
      <xdr:xfrm>
        <a:off x="6779160" y="4440600"/>
        <a:ext cx="5762160" cy="324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3" activeCellId="0" sqref="I5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37"/>
    <col collapsed="false" customWidth="true" hidden="false" outlineLevel="0" max="3" min="2" style="1" width="9.06"/>
    <col collapsed="false" customWidth="true" hidden="false" outlineLevel="0" max="5" min="4" style="1" width="10.75"/>
    <col collapsed="false" customWidth="true" hidden="false" outlineLevel="0" max="6" min="6" style="1" width="17.19"/>
    <col collapsed="false" customWidth="true" hidden="false" outlineLevel="0" max="7" min="7" style="1" width="16.58"/>
    <col collapsed="false" customWidth="false" hidden="false" outlineLevel="0" max="8" min="8" style="2" width="11.53"/>
    <col collapsed="false" customWidth="false" hidden="false" outlineLevel="0" max="9" min="9" style="3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</row>
    <row r="2" customFormat="false" ht="12.8" hidden="false" customHeight="false" outlineLevel="0" collapsed="false">
      <c r="A2" s="4" t="s">
        <v>9</v>
      </c>
      <c r="B2" s="4" t="n">
        <v>0</v>
      </c>
      <c r="C2" s="4" t="n">
        <v>400</v>
      </c>
      <c r="D2" s="4" t="n">
        <v>948</v>
      </c>
      <c r="E2" s="4" t="n">
        <v>1481</v>
      </c>
      <c r="F2" s="4" t="n">
        <v>-5.86669355542368</v>
      </c>
      <c r="G2" s="4" t="n">
        <v>402.045385469408</v>
      </c>
      <c r="H2" s="5" t="e">
        <f aca="false">(F2-B2)/B2</f>
        <v>#DIV/0!</v>
      </c>
      <c r="I2" s="3" t="n">
        <f aca="false">(G2-C2)/C2</f>
        <v>0.00511346367352005</v>
      </c>
    </row>
    <row r="3" customFormat="false" ht="12.8" hidden="false" customHeight="false" outlineLevel="0" collapsed="false">
      <c r="A3" s="4" t="s">
        <v>10</v>
      </c>
      <c r="B3" s="4" t="n">
        <v>0</v>
      </c>
      <c r="C3" s="4" t="n">
        <v>800</v>
      </c>
      <c r="D3" s="4" t="n">
        <v>1109</v>
      </c>
      <c r="E3" s="4" t="n">
        <v>790</v>
      </c>
      <c r="F3" s="4" t="n">
        <v>-7.96943433811734</v>
      </c>
      <c r="G3" s="4" t="n">
        <v>802.621278846541</v>
      </c>
      <c r="H3" s="5" t="e">
        <f aca="false">(F3-B3)/B3</f>
        <v>#DIV/0!</v>
      </c>
      <c r="I3" s="3" t="n">
        <f aca="false">(G3-C3)/C3</f>
        <v>0.00327659855817629</v>
      </c>
    </row>
    <row r="4" customFormat="false" ht="12.8" hidden="false" customHeight="false" outlineLevel="0" collapsed="false">
      <c r="A4" s="4" t="s">
        <v>11</v>
      </c>
      <c r="B4" s="4" t="n">
        <v>0</v>
      </c>
      <c r="C4" s="4" t="n">
        <v>900</v>
      </c>
      <c r="D4" s="4" t="n">
        <v>1133</v>
      </c>
      <c r="E4" s="4" t="n">
        <v>703</v>
      </c>
      <c r="F4" s="4" t="n">
        <v>-6.94949659190636</v>
      </c>
      <c r="G4" s="4" t="n">
        <v>902.135708207518</v>
      </c>
      <c r="H4" s="5" t="e">
        <f aca="false">(F4-B4)/B4</f>
        <v>#DIV/0!</v>
      </c>
      <c r="I4" s="3" t="n">
        <f aca="false">(G4-C4)/C4</f>
        <v>0.00237300911946439</v>
      </c>
    </row>
    <row r="5" customFormat="false" ht="12.8" hidden="false" customHeight="false" outlineLevel="0" collapsed="false">
      <c r="A5" s="1" t="s">
        <v>12</v>
      </c>
      <c r="B5" s="1" t="n">
        <v>108.3</v>
      </c>
      <c r="C5" s="1" t="n">
        <v>500</v>
      </c>
      <c r="D5" s="1" t="n">
        <v>1455</v>
      </c>
      <c r="E5" s="1" t="n">
        <v>1231</v>
      </c>
      <c r="F5" s="1" t="n">
        <v>106.531791937894</v>
      </c>
      <c r="G5" s="1" t="n">
        <v>496.262057292665</v>
      </c>
      <c r="H5" s="2" t="n">
        <f aca="false">(F5-B5)/B5</f>
        <v>-0.0163269442484395</v>
      </c>
      <c r="I5" s="3" t="n">
        <f aca="false">(G5-C5)/C5</f>
        <v>-0.00747588541466996</v>
      </c>
    </row>
    <row r="6" customFormat="false" ht="12.8" hidden="false" customHeight="false" outlineLevel="0" collapsed="false">
      <c r="A6" s="1" t="s">
        <v>13</v>
      </c>
      <c r="B6" s="1" t="n">
        <v>120.1</v>
      </c>
      <c r="C6" s="1" t="n">
        <v>2000</v>
      </c>
      <c r="D6" s="1" t="n">
        <v>1382</v>
      </c>
      <c r="E6" s="1" t="n">
        <v>293</v>
      </c>
      <c r="F6" s="1" t="n">
        <v>120.808352126599</v>
      </c>
      <c r="G6" s="1" t="n">
        <v>1983.39406724609</v>
      </c>
      <c r="H6" s="2" t="n">
        <f aca="false">(F6-B6)/B6</f>
        <v>0.0058980193721816</v>
      </c>
      <c r="I6" s="3" t="n">
        <f aca="false">(G6-C6)/C6</f>
        <v>-0.00830296637695506</v>
      </c>
    </row>
    <row r="7" s="4" customFormat="true" ht="12.8" hidden="false" customHeight="false" outlineLevel="0" collapsed="false">
      <c r="A7" s="4" t="s">
        <v>14</v>
      </c>
      <c r="B7" s="4" t="n">
        <v>120.2</v>
      </c>
      <c r="C7" s="4" t="n">
        <v>400</v>
      </c>
      <c r="D7" s="4" t="n">
        <v>1683</v>
      </c>
      <c r="E7" s="4" t="n">
        <v>1485</v>
      </c>
      <c r="F7" s="4" t="n">
        <v>150.165934068324</v>
      </c>
      <c r="G7" s="4" t="n">
        <v>395.826762032533</v>
      </c>
      <c r="H7" s="5" t="n">
        <f aca="false">(F7-B7)/B7</f>
        <v>0.249300616209018</v>
      </c>
      <c r="I7" s="3" t="n">
        <f aca="false">(G7-C7)/C7</f>
        <v>-0.0104330949186675</v>
      </c>
    </row>
    <row r="8" customFormat="false" ht="12.8" hidden="false" customHeight="false" outlineLevel="0" collapsed="false">
      <c r="A8" s="1" t="s">
        <v>15</v>
      </c>
      <c r="B8" s="1" t="n">
        <v>120.2</v>
      </c>
      <c r="C8" s="1" t="n">
        <v>678.7</v>
      </c>
      <c r="D8" s="1" t="n">
        <v>1472</v>
      </c>
      <c r="E8" s="1" t="n">
        <v>930</v>
      </c>
      <c r="F8" s="1" t="n">
        <v>121.573403892007</v>
      </c>
      <c r="G8" s="1" t="n">
        <v>677.022670688424</v>
      </c>
      <c r="H8" s="2" t="n">
        <f aca="false">(F8-B8)/B8</f>
        <v>0.0114259891181946</v>
      </c>
      <c r="I8" s="3" t="n">
        <f aca="false">(G8-C8)/C8</f>
        <v>-0.00247138545981442</v>
      </c>
    </row>
    <row r="9" s="6" customFormat="true" ht="12.8" hidden="false" customHeight="false" outlineLevel="0" collapsed="false">
      <c r="A9" s="4" t="s">
        <v>16</v>
      </c>
      <c r="B9" s="4" t="n">
        <v>120.7</v>
      </c>
      <c r="C9" s="4" t="n">
        <v>423.8</v>
      </c>
      <c r="D9" s="4" t="n">
        <v>1672</v>
      </c>
      <c r="E9" s="4" t="n">
        <v>1422</v>
      </c>
      <c r="F9" s="4" t="n">
        <v>150.86589603219</v>
      </c>
      <c r="G9" s="4" t="n">
        <v>417.367797921966</v>
      </c>
      <c r="H9" s="5" t="n">
        <f aca="false">(F9-B9)/B9</f>
        <v>0.249924573588981</v>
      </c>
      <c r="I9" s="3" t="n">
        <f aca="false">(G9-C9)/C9</f>
        <v>-0.0151774470930487</v>
      </c>
    </row>
    <row r="10" customFormat="false" ht="12.8" hidden="false" customHeight="false" outlineLevel="0" collapsed="false">
      <c r="A10" s="1" t="s">
        <v>17</v>
      </c>
      <c r="B10" s="1" t="n">
        <v>120</v>
      </c>
      <c r="C10" s="1" t="n">
        <v>602.7</v>
      </c>
      <c r="D10" s="1" t="n">
        <v>1479</v>
      </c>
      <c r="E10" s="1" t="n">
        <v>1040</v>
      </c>
      <c r="F10" s="1" t="n">
        <v>119.07703618251</v>
      </c>
      <c r="G10" s="1" t="n">
        <v>599.749054319427</v>
      </c>
      <c r="H10" s="2" t="n">
        <f aca="false">(F10-B10)/B10</f>
        <v>-0.00769136514575</v>
      </c>
      <c r="I10" s="3" t="n">
        <f aca="false">(G10-C10)/C10</f>
        <v>-0.0048962098566003</v>
      </c>
    </row>
    <row r="11" s="6" customFormat="true" ht="12.8" hidden="false" customHeight="false" outlineLevel="0" collapsed="false">
      <c r="A11" s="4" t="s">
        <v>18</v>
      </c>
      <c r="B11" s="4" t="n">
        <v>14.9</v>
      </c>
      <c r="C11" s="4" t="n">
        <v>1300</v>
      </c>
      <c r="D11" s="4" t="n">
        <v>1221</v>
      </c>
      <c r="E11" s="4" t="n">
        <v>477</v>
      </c>
      <c r="F11" s="4" t="n">
        <v>11.9710014462234</v>
      </c>
      <c r="G11" s="4" t="n">
        <v>1302.65352559053</v>
      </c>
      <c r="H11" s="5" t="n">
        <f aca="false">(F11-B11)/B11</f>
        <v>-0.196577084146081</v>
      </c>
      <c r="I11" s="3" t="n">
        <f aca="false">(G11-C11)/C11</f>
        <v>0.00204117353117698</v>
      </c>
    </row>
    <row r="12" customFormat="false" ht="12.8" hidden="false" customHeight="false" outlineLevel="0" collapsed="false">
      <c r="A12" s="1" t="s">
        <v>19</v>
      </c>
      <c r="B12" s="1" t="n">
        <v>144.2</v>
      </c>
      <c r="C12" s="1" t="n">
        <v>849.9</v>
      </c>
      <c r="D12" s="1" t="n">
        <v>1507</v>
      </c>
      <c r="E12" s="1" t="n">
        <v>753</v>
      </c>
      <c r="F12" s="1" t="n">
        <v>145.420073113179</v>
      </c>
      <c r="G12" s="1" t="n">
        <v>843.632908434815</v>
      </c>
      <c r="H12" s="2" t="n">
        <f aca="false">(F12-B12)/B12</f>
        <v>0.00846097859347443</v>
      </c>
      <c r="I12" s="3" t="n">
        <f aca="false">(G12-C12)/C12</f>
        <v>-0.00737391641979639</v>
      </c>
    </row>
    <row r="13" s="6" customFormat="true" ht="12.8" hidden="false" customHeight="false" outlineLevel="0" collapsed="false">
      <c r="A13" s="4" t="s">
        <v>20</v>
      </c>
      <c r="B13" s="4" t="n">
        <v>19.5</v>
      </c>
      <c r="C13" s="4" t="n">
        <v>1000</v>
      </c>
      <c r="D13" s="4" t="n">
        <v>1201</v>
      </c>
      <c r="E13" s="4" t="n">
        <v>631</v>
      </c>
      <c r="F13" s="4" t="n">
        <v>16.0058034383993</v>
      </c>
      <c r="G13" s="4" t="n">
        <v>1002.99389046401</v>
      </c>
      <c r="H13" s="5" t="n">
        <f aca="false">(F13-B13)/B13</f>
        <v>-0.179189567261574</v>
      </c>
      <c r="I13" s="3" t="n">
        <f aca="false">(G13-C13)/C13</f>
        <v>0.00299389046400995</v>
      </c>
    </row>
    <row r="14" s="6" customFormat="true" ht="12.8" hidden="false" customHeight="false" outlineLevel="0" collapsed="false">
      <c r="A14" s="4" t="s">
        <v>21</v>
      </c>
      <c r="B14" s="4" t="n">
        <v>258.4</v>
      </c>
      <c r="C14" s="4" t="n">
        <v>554.9</v>
      </c>
      <c r="D14" s="4" t="n">
        <v>1716</v>
      </c>
      <c r="E14" s="4" t="n">
        <v>1122</v>
      </c>
      <c r="F14" s="4" t="n">
        <v>182.170724260734</v>
      </c>
      <c r="G14" s="4" t="n">
        <v>550.078896779978</v>
      </c>
      <c r="H14" s="5" t="n">
        <f aca="false">(F14-B14)/B14</f>
        <v>-0.295004937071463</v>
      </c>
      <c r="I14" s="3" t="n">
        <f aca="false">(G14-C14)/C14</f>
        <v>-0.0086882379167814</v>
      </c>
    </row>
    <row r="15" customFormat="false" ht="12.8" hidden="false" customHeight="false" outlineLevel="0" collapsed="false">
      <c r="A15" s="7" t="s">
        <v>22</v>
      </c>
      <c r="B15" s="7" t="n">
        <v>34.7</v>
      </c>
      <c r="C15" s="7" t="n">
        <v>1600</v>
      </c>
      <c r="D15" s="7" t="n">
        <v>1269</v>
      </c>
      <c r="E15" s="7" t="n">
        <v>379</v>
      </c>
      <c r="F15" s="7" t="n">
        <v>32.6948954065275</v>
      </c>
      <c r="G15" s="7" t="n">
        <v>1596.05420060739</v>
      </c>
      <c r="H15" s="8" t="n">
        <f aca="false">(F15-B15)/B15</f>
        <v>-0.0577839940481989</v>
      </c>
      <c r="I15" s="3" t="n">
        <f aca="false">(G15-C15)/C15</f>
        <v>-0.00246612462038129</v>
      </c>
    </row>
    <row r="16" customFormat="false" ht="12.8" hidden="false" customHeight="false" outlineLevel="0" collapsed="false">
      <c r="A16" s="7" t="s">
        <v>23</v>
      </c>
      <c r="B16" s="7" t="n">
        <v>36.2</v>
      </c>
      <c r="C16" s="7" t="n">
        <v>1400</v>
      </c>
      <c r="D16" s="7" t="n">
        <v>1265</v>
      </c>
      <c r="E16" s="7" t="n">
        <v>440</v>
      </c>
      <c r="F16" s="7" t="n">
        <v>34.9433019600952</v>
      </c>
      <c r="G16" s="7" t="n">
        <v>1401.62845844916</v>
      </c>
      <c r="H16" s="8" t="n">
        <f aca="false">(F16-B16)/B16</f>
        <v>-0.0347154154669836</v>
      </c>
      <c r="I16" s="3" t="n">
        <f aca="false">(G16-C16)/C16</f>
        <v>0.00116318460654286</v>
      </c>
    </row>
    <row r="17" customFormat="false" ht="12.8" hidden="false" customHeight="false" outlineLevel="0" collapsed="false">
      <c r="A17" s="7" t="s">
        <v>24</v>
      </c>
      <c r="B17" s="7" t="n">
        <v>45.1</v>
      </c>
      <c r="C17" s="7" t="n">
        <v>1200</v>
      </c>
      <c r="D17" s="7" t="n">
        <v>1268</v>
      </c>
      <c r="E17" s="7" t="n">
        <v>521</v>
      </c>
      <c r="F17" s="7" t="n">
        <v>41.7308000406673</v>
      </c>
      <c r="G17" s="7" t="n">
        <v>1202.9314368296</v>
      </c>
      <c r="H17" s="8" t="n">
        <f aca="false">(F17-B17)/B17</f>
        <v>-0.0747050988765566</v>
      </c>
      <c r="I17" s="3" t="n">
        <f aca="false">(G17-C17)/C17</f>
        <v>0.00244286402466666</v>
      </c>
    </row>
    <row r="18" customFormat="false" ht="12.8" hidden="false" customHeight="false" outlineLevel="0" collapsed="false">
      <c r="A18" s="7" t="s">
        <v>25</v>
      </c>
      <c r="B18" s="7" t="n">
        <v>48.8</v>
      </c>
      <c r="C18" s="7" t="n">
        <v>1700</v>
      </c>
      <c r="D18" s="7" t="n">
        <v>1291</v>
      </c>
      <c r="E18" s="7" t="n">
        <v>354</v>
      </c>
      <c r="F18" s="7" t="n">
        <v>46.6662521817725</v>
      </c>
      <c r="G18" s="7" t="n">
        <v>1692.17155270141</v>
      </c>
      <c r="H18" s="8" t="n">
        <f aca="false">(F18-B18)/B18</f>
        <v>-0.0437243405374487</v>
      </c>
      <c r="I18" s="3" t="n">
        <f aca="false">(G18-C18)/C18</f>
        <v>-0.00460496899917055</v>
      </c>
    </row>
    <row r="19" customFormat="false" ht="12.8" hidden="false" customHeight="false" outlineLevel="0" collapsed="false">
      <c r="A19" s="7" t="s">
        <v>26</v>
      </c>
      <c r="B19" s="7" t="n">
        <v>52.9</v>
      </c>
      <c r="C19" s="7" t="n">
        <v>700</v>
      </c>
      <c r="D19" s="7" t="n">
        <v>1255</v>
      </c>
      <c r="E19" s="7" t="n">
        <v>900</v>
      </c>
      <c r="F19" s="7" t="n">
        <v>49.7948451179619</v>
      </c>
      <c r="G19" s="7" t="n">
        <v>701.412086330138</v>
      </c>
      <c r="H19" s="8" t="n">
        <f aca="false">(F19-B19)/B19</f>
        <v>-0.0586985800007202</v>
      </c>
      <c r="I19" s="3" t="n">
        <f aca="false">(G19-C19)/C19</f>
        <v>0.0020172661859114</v>
      </c>
    </row>
    <row r="20" customFormat="false" ht="12.8" hidden="false" customHeight="false" outlineLevel="0" collapsed="false">
      <c r="A20" s="7" t="s">
        <v>27</v>
      </c>
      <c r="B20" s="7" t="n">
        <v>57</v>
      </c>
      <c r="C20" s="7" t="n">
        <v>400</v>
      </c>
      <c r="D20" s="7" t="n">
        <v>1231</v>
      </c>
      <c r="E20" s="7" t="n">
        <v>1482</v>
      </c>
      <c r="F20" s="7" t="n">
        <v>53.7894234189463</v>
      </c>
      <c r="G20" s="7" t="n">
        <v>399.844360480273</v>
      </c>
      <c r="H20" s="8" t="n">
        <f aca="false">(F20-B20)/B20</f>
        <v>-0.0563259049307667</v>
      </c>
      <c r="I20" s="3" t="n">
        <f aca="false">(G20-C20)/C20</f>
        <v>-0.000389098799317509</v>
      </c>
    </row>
    <row r="21" customFormat="false" ht="12.8" hidden="false" customHeight="false" outlineLevel="0" collapsed="false">
      <c r="A21" s="1" t="s">
        <v>28</v>
      </c>
      <c r="B21" s="1" t="n">
        <v>63.5</v>
      </c>
      <c r="C21" s="1" t="n">
        <v>1800</v>
      </c>
      <c r="D21" s="1" t="n">
        <v>1315</v>
      </c>
      <c r="E21" s="1" t="n">
        <v>331</v>
      </c>
      <c r="F21" s="1" t="n">
        <v>63.9438059370594</v>
      </c>
      <c r="G21" s="1" t="n">
        <v>1791.04614276847</v>
      </c>
      <c r="H21" s="2" t="n">
        <f aca="false">(F21-B21)/B21</f>
        <v>0.00698906987495121</v>
      </c>
      <c r="I21" s="3" t="n">
        <f aca="false">(G21-C21)/C21</f>
        <v>-0.0049743651286278</v>
      </c>
    </row>
    <row r="22" customFormat="false" ht="12.8" hidden="false" customHeight="false" outlineLevel="0" collapsed="false">
      <c r="A22" s="7" t="s">
        <v>29</v>
      </c>
      <c r="B22" s="7" t="n">
        <v>70.9</v>
      </c>
      <c r="C22" s="7" t="n">
        <v>1900</v>
      </c>
      <c r="D22" s="7" t="n">
        <v>1321</v>
      </c>
      <c r="E22" s="7" t="n">
        <v>310</v>
      </c>
      <c r="F22" s="7" t="n">
        <v>68.3459865572016</v>
      </c>
      <c r="G22" s="7" t="n">
        <v>1890.08898319521</v>
      </c>
      <c r="H22" s="8" t="n">
        <f aca="false">(F22-B22)/B22</f>
        <v>-0.0360227565980029</v>
      </c>
      <c r="I22" s="3" t="n">
        <f aca="false">(G22-C22)/C22</f>
        <v>-0.00521632463410003</v>
      </c>
    </row>
    <row r="23" customFormat="false" ht="12.8" hidden="false" customHeight="false" outlineLevel="0" collapsed="false">
      <c r="A23" s="1" t="s">
        <v>30</v>
      </c>
      <c r="B23" s="1" t="n">
        <v>88.4</v>
      </c>
      <c r="C23" s="1" t="n">
        <v>1500</v>
      </c>
      <c r="D23" s="1" t="n">
        <v>1349</v>
      </c>
      <c r="E23" s="1" t="n">
        <v>411</v>
      </c>
      <c r="F23" s="1" t="n">
        <v>88.0843176863798</v>
      </c>
      <c r="G23" s="1" t="n">
        <v>1491.75425781505</v>
      </c>
      <c r="H23" s="2" t="n">
        <f aca="false">(F23-B23)/B23</f>
        <v>-0.00357106689615612</v>
      </c>
      <c r="I23" s="3" t="n">
        <f aca="false">(G23-C23)/C23</f>
        <v>-0.00549716145663327</v>
      </c>
    </row>
    <row r="24" customFormat="false" ht="12.8" hidden="false" customHeight="false" outlineLevel="0" collapsed="false">
      <c r="A24" s="1" t="s">
        <v>31</v>
      </c>
      <c r="B24" s="1" t="n">
        <v>88.9</v>
      </c>
      <c r="C24" s="1" t="n">
        <v>800</v>
      </c>
      <c r="D24" s="1" t="n">
        <v>1364</v>
      </c>
      <c r="E24" s="1" t="n">
        <v>793</v>
      </c>
      <c r="F24" s="1" t="n">
        <v>87.8921236445781</v>
      </c>
      <c r="G24" s="1" t="n">
        <v>799.912947939294</v>
      </c>
      <c r="H24" s="2" t="n">
        <f aca="false">(F24-B24)/B24</f>
        <v>-0.0113371918495152</v>
      </c>
      <c r="I24" s="3" t="n">
        <f aca="false">(G24-C24)/C24</f>
        <v>-0.000108815075882518</v>
      </c>
    </row>
    <row r="25" customFormat="false" ht="12.8" hidden="false" customHeight="false" outlineLevel="0" collapsed="false">
      <c r="A25" s="1" t="s">
        <v>32</v>
      </c>
      <c r="B25" s="1" t="n">
        <v>90.6</v>
      </c>
      <c r="C25" s="1" t="n">
        <v>1100</v>
      </c>
      <c r="D25" s="1" t="n">
        <v>1360</v>
      </c>
      <c r="E25" s="1" t="n">
        <v>574</v>
      </c>
      <c r="F25" s="1" t="n">
        <v>90.2827444246275</v>
      </c>
      <c r="G25" s="1" t="n">
        <v>1100.17750794812</v>
      </c>
      <c r="H25" s="2" t="n">
        <f aca="false">(F25-B25)/B25</f>
        <v>-0.00350171716746688</v>
      </c>
      <c r="I25" s="3" t="n">
        <f aca="false">(G25-C25)/C25</f>
        <v>0.000161370861927191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LibreOffice/7.6.5.2$MacOSX_AARCH64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Joshua Mehlman</cp:lastModifiedBy>
  <dcterms:modified xsi:type="dcterms:W3CDTF">2025-08-27T14:46:11Z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